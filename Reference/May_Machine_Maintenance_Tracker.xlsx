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ARKD\Machine Maintenance\"/>
    </mc:Choice>
  </mc:AlternateContent>
  <xr:revisionPtr revIDLastSave="0" documentId="13_ncr:1_{701E4095-64BF-438B-BD0A-7AD46FAB6C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tenance Log" sheetId="1" r:id="rId1"/>
    <sheet name="Monthly Summary" sheetId="2" r:id="rId2"/>
    <sheet name="Operator Tracking" sheetId="3" r:id="rId3"/>
    <sheet name="Blade Use" sheetId="4" r:id="rId4"/>
    <sheet name="Blad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4" l="1"/>
  <c r="C4" i="5"/>
  <c r="C5" i="5"/>
  <c r="C6" i="5"/>
  <c r="C7" i="5"/>
  <c r="C3" i="5"/>
  <c r="C2" i="5"/>
  <c r="D2" i="4"/>
  <c r="G2" i="1"/>
  <c r="D3" i="4"/>
  <c r="D19" i="3"/>
  <c r="C19" i="3"/>
  <c r="B19" i="3"/>
  <c r="D18" i="3"/>
  <c r="C18" i="3"/>
  <c r="B18" i="3"/>
  <c r="D17" i="3"/>
  <c r="C17" i="3"/>
  <c r="B17" i="3"/>
  <c r="D16" i="3"/>
  <c r="C16" i="3"/>
  <c r="B16" i="3"/>
  <c r="D15" i="3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D4" i="3"/>
  <c r="C4" i="3"/>
  <c r="B4" i="3"/>
  <c r="D3" i="3"/>
  <c r="C3" i="3"/>
  <c r="B3" i="3"/>
  <c r="D2" i="3"/>
  <c r="C2" i="3"/>
  <c r="B2" i="3"/>
  <c r="K94" i="1"/>
  <c r="G94" i="1"/>
  <c r="K93" i="1"/>
  <c r="G93" i="1"/>
  <c r="K92" i="1"/>
  <c r="G92" i="1"/>
  <c r="K91" i="1"/>
  <c r="G91" i="1"/>
  <c r="K90" i="1"/>
  <c r="G90" i="1"/>
  <c r="K89" i="1"/>
  <c r="G89" i="1"/>
  <c r="K88" i="1"/>
  <c r="G88" i="1"/>
  <c r="K87" i="1"/>
  <c r="G87" i="1"/>
  <c r="K86" i="1"/>
  <c r="G86" i="1"/>
  <c r="K85" i="1"/>
  <c r="G85" i="1"/>
  <c r="K84" i="1"/>
  <c r="G84" i="1"/>
  <c r="K83" i="1"/>
  <c r="G83" i="1"/>
  <c r="K82" i="1"/>
  <c r="G82" i="1"/>
  <c r="K81" i="1"/>
  <c r="G81" i="1"/>
  <c r="K80" i="1"/>
  <c r="G80" i="1"/>
  <c r="K79" i="1"/>
  <c r="G79" i="1"/>
  <c r="K78" i="1"/>
  <c r="G78" i="1"/>
  <c r="K77" i="1"/>
  <c r="G77" i="1"/>
  <c r="K76" i="1"/>
  <c r="G76" i="1"/>
  <c r="K75" i="1"/>
  <c r="G75" i="1"/>
  <c r="K74" i="1"/>
  <c r="G74" i="1"/>
  <c r="K73" i="1"/>
  <c r="G73" i="1"/>
  <c r="K72" i="1"/>
  <c r="G72" i="1"/>
  <c r="K71" i="1"/>
  <c r="G71" i="1"/>
  <c r="K70" i="1"/>
  <c r="G70" i="1"/>
  <c r="K69" i="1"/>
  <c r="G69" i="1"/>
  <c r="K68" i="1"/>
  <c r="G68" i="1"/>
  <c r="K67" i="1"/>
  <c r="G67" i="1"/>
  <c r="K66" i="1"/>
  <c r="G66" i="1"/>
  <c r="K65" i="1"/>
  <c r="G65" i="1"/>
  <c r="K64" i="1"/>
  <c r="G64" i="1"/>
  <c r="K63" i="1"/>
  <c r="G63" i="1"/>
  <c r="K62" i="1"/>
  <c r="G62" i="1"/>
  <c r="K61" i="1"/>
  <c r="G61" i="1"/>
  <c r="K60" i="1"/>
  <c r="G60" i="1"/>
  <c r="K59" i="1"/>
  <c r="G59" i="1"/>
  <c r="K58" i="1"/>
  <c r="G58" i="1"/>
  <c r="K57" i="1"/>
  <c r="G57" i="1"/>
  <c r="K56" i="1"/>
  <c r="G56" i="1"/>
  <c r="K55" i="1"/>
  <c r="G55" i="1"/>
  <c r="K54" i="1"/>
  <c r="G54" i="1"/>
  <c r="K53" i="1"/>
  <c r="G53" i="1"/>
  <c r="K52" i="1"/>
  <c r="G52" i="1"/>
  <c r="K51" i="1"/>
  <c r="G51" i="1"/>
  <c r="K50" i="1"/>
  <c r="G50" i="1"/>
  <c r="K49" i="1"/>
  <c r="G49" i="1"/>
  <c r="K48" i="1"/>
  <c r="G48" i="1"/>
  <c r="K47" i="1"/>
  <c r="G47" i="1"/>
  <c r="K46" i="1"/>
  <c r="G46" i="1"/>
  <c r="K45" i="1"/>
  <c r="G45" i="1"/>
  <c r="K44" i="1"/>
  <c r="G44" i="1"/>
  <c r="K43" i="1"/>
  <c r="G43" i="1"/>
  <c r="K42" i="1"/>
  <c r="G42" i="1"/>
  <c r="K41" i="1"/>
  <c r="G41" i="1"/>
  <c r="K40" i="1"/>
  <c r="G40" i="1"/>
  <c r="K39" i="1"/>
  <c r="G39" i="1"/>
  <c r="K38" i="1"/>
  <c r="G38" i="1"/>
  <c r="K37" i="1"/>
  <c r="G37" i="1"/>
  <c r="K36" i="1"/>
  <c r="G36" i="1"/>
  <c r="K35" i="1"/>
  <c r="G35" i="1"/>
  <c r="K34" i="1"/>
  <c r="G34" i="1"/>
  <c r="K33" i="1"/>
  <c r="G33" i="1"/>
  <c r="K32" i="1"/>
  <c r="G32" i="1"/>
  <c r="K31" i="1"/>
  <c r="G31" i="1"/>
  <c r="K30" i="1"/>
  <c r="G30" i="1"/>
  <c r="K29" i="1"/>
  <c r="G29" i="1"/>
  <c r="K28" i="1"/>
  <c r="G28" i="1"/>
  <c r="K27" i="1"/>
  <c r="G27" i="1"/>
  <c r="K26" i="1"/>
  <c r="G26" i="1"/>
  <c r="K25" i="1"/>
  <c r="G25" i="1"/>
  <c r="K24" i="1"/>
  <c r="G24" i="1"/>
  <c r="K23" i="1"/>
  <c r="G23" i="1"/>
  <c r="K22" i="1"/>
  <c r="G22" i="1"/>
  <c r="K21" i="1"/>
  <c r="G21" i="1"/>
  <c r="K20" i="1"/>
  <c r="G20" i="1"/>
  <c r="K19" i="1"/>
  <c r="G19" i="1"/>
  <c r="K18" i="1"/>
  <c r="G18" i="1"/>
  <c r="K17" i="1"/>
  <c r="G17" i="1"/>
  <c r="K16" i="1"/>
  <c r="G16" i="1"/>
  <c r="K15" i="1"/>
  <c r="G15" i="1"/>
  <c r="K14" i="1"/>
  <c r="G14" i="1"/>
  <c r="K13" i="1"/>
  <c r="G13" i="1"/>
  <c r="K12" i="1"/>
  <c r="G12" i="1"/>
  <c r="K11" i="1"/>
  <c r="G11" i="1"/>
  <c r="K10" i="1"/>
  <c r="G10" i="1"/>
  <c r="K9" i="1"/>
  <c r="G9" i="1"/>
  <c r="K8" i="1"/>
  <c r="G8" i="1"/>
  <c r="K7" i="1"/>
  <c r="G7" i="1"/>
  <c r="K6" i="1"/>
  <c r="G6" i="1"/>
  <c r="K5" i="1"/>
  <c r="G5" i="1"/>
  <c r="K4" i="1"/>
  <c r="G4" i="1"/>
  <c r="K3" i="1"/>
  <c r="G3" i="1"/>
  <c r="K2" i="1"/>
  <c r="B19" i="2" l="1"/>
  <c r="B2" i="2"/>
  <c r="C3" i="2"/>
  <c r="D4" i="2"/>
  <c r="B6" i="2"/>
  <c r="C7" i="2"/>
  <c r="D8" i="2"/>
  <c r="B10" i="2"/>
  <c r="C11" i="2"/>
  <c r="D12" i="2"/>
  <c r="B14" i="2"/>
  <c r="C15" i="2"/>
  <c r="D16" i="2"/>
  <c r="B18" i="2"/>
  <c r="C19" i="2"/>
  <c r="C2" i="2"/>
  <c r="D3" i="2"/>
  <c r="B5" i="2"/>
  <c r="C6" i="2"/>
  <c r="D7" i="2"/>
  <c r="B9" i="2"/>
  <c r="C10" i="2"/>
  <c r="D11" i="2"/>
  <c r="B13" i="2"/>
  <c r="C14" i="2"/>
  <c r="D15" i="2"/>
  <c r="B17" i="2"/>
  <c r="C18" i="2"/>
  <c r="D19" i="2"/>
  <c r="D2" i="2"/>
  <c r="B4" i="2"/>
  <c r="C5" i="2"/>
  <c r="D6" i="2"/>
  <c r="B8" i="2"/>
  <c r="C9" i="2"/>
  <c r="D10" i="2"/>
  <c r="B12" i="2"/>
  <c r="C13" i="2"/>
  <c r="D14" i="2"/>
  <c r="B16" i="2"/>
  <c r="C17" i="2"/>
  <c r="D18" i="2"/>
  <c r="B3" i="2"/>
  <c r="C4" i="2"/>
  <c r="D5" i="2"/>
  <c r="B7" i="2"/>
  <c r="C8" i="2"/>
  <c r="D9" i="2"/>
  <c r="B11" i="2"/>
  <c r="C12" i="2"/>
  <c r="D13" i="2"/>
  <c r="B15" i="2"/>
  <c r="C16" i="2"/>
  <c r="D17" i="2"/>
</calcChain>
</file>

<file path=xl/sharedStrings.xml><?xml version="1.0" encoding="utf-8"?>
<sst xmlns="http://schemas.openxmlformats.org/spreadsheetml/2006/main" count="59" uniqueCount="42">
  <si>
    <t>Machine ID</t>
  </si>
  <si>
    <t>Machine Name</t>
  </si>
  <si>
    <t>Operator Name</t>
  </si>
  <si>
    <t>Department</t>
  </si>
  <si>
    <t>Sent Date</t>
  </si>
  <si>
    <t>Received Date</t>
  </si>
  <si>
    <t>Repair Days</t>
  </si>
  <si>
    <t>Problem</t>
  </si>
  <si>
    <t>Vendor</t>
  </si>
  <si>
    <t>Cost (₹)</t>
  </si>
  <si>
    <t>Month</t>
  </si>
  <si>
    <t>Remarks</t>
  </si>
  <si>
    <t>Total Repairs</t>
  </si>
  <si>
    <t>Total Cost (₹)</t>
  </si>
  <si>
    <t>Avg Repair Days</t>
  </si>
  <si>
    <t>Total Issues</t>
  </si>
  <si>
    <t>punching</t>
  </si>
  <si>
    <t>Machine</t>
  </si>
  <si>
    <t>Date</t>
  </si>
  <si>
    <t>End date</t>
  </si>
  <si>
    <t>punch not proper</t>
  </si>
  <si>
    <t>middle square tool</t>
  </si>
  <si>
    <t xml:space="preserve">send to repaire 10:30 am </t>
  </si>
  <si>
    <t>cutting-2</t>
  </si>
  <si>
    <t>Qty</t>
  </si>
  <si>
    <t>cutting 2</t>
  </si>
  <si>
    <t>Rushikesh</t>
  </si>
  <si>
    <t>Maurya</t>
  </si>
  <si>
    <t>cutting-1</t>
  </si>
  <si>
    <t>Recieve date</t>
  </si>
  <si>
    <t>Total Use days</t>
  </si>
  <si>
    <t>Days</t>
  </si>
  <si>
    <t>Square tool</t>
  </si>
  <si>
    <t>mini circle 2-hole (middle 65 trolley</t>
  </si>
  <si>
    <t>Bharati</t>
  </si>
  <si>
    <t>punch not proper ( one circle not proper puch)</t>
  </si>
  <si>
    <t>maurya</t>
  </si>
  <si>
    <t xml:space="preserve">send to repaire 11:30 am </t>
  </si>
  <si>
    <t>middle Square tool</t>
  </si>
  <si>
    <t>Cutting 2</t>
  </si>
  <si>
    <t>cutting 1</t>
  </si>
  <si>
    <t>punch not proper, and pipe was getting stuck  while punching 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</si>
</sst>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"/>
  <sheetViews>
    <sheetView tabSelected="1" workbookViewId="0">
      <selection activeCell="G8" sqref="G8"/>
    </sheetView>
  </sheetViews>
  <sheetFormatPr defaultRowHeight="14.4" x14ac:dyDescent="0.3"/>
  <cols>
    <col min="1" max="1" width="8.21875" customWidth="1"/>
    <col min="2" max="2" width="24.109375" customWidth="1"/>
    <col min="3" max="3" width="11.5546875" customWidth="1"/>
    <col min="4" max="4" width="11" customWidth="1"/>
    <col min="5" max="5" width="10.6640625" customWidth="1"/>
    <col min="6" max="6" width="11.21875" customWidth="1"/>
    <col min="7" max="7" width="8.88671875" customWidth="1"/>
    <col min="8" max="8" width="25" customWidth="1"/>
    <col min="9" max="9" width="9.109375" customWidth="1"/>
    <col min="10" max="10" width="10.109375" customWidth="1"/>
    <col min="11" max="11" width="9.6640625" customWidth="1"/>
    <col min="12" max="12" width="20" customWidth="1"/>
  </cols>
  <sheetData>
    <row r="1" spans="1:12" ht="28.8" x14ac:dyDescent="0.3">
      <c r="A1" s="5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5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B2" s="6" t="s">
        <v>21</v>
      </c>
      <c r="C2" t="s">
        <v>26</v>
      </c>
      <c r="D2" t="s">
        <v>16</v>
      </c>
      <c r="E2" s="3">
        <v>46146</v>
      </c>
      <c r="F2" s="3">
        <v>46150</v>
      </c>
      <c r="G2">
        <f>IF(AND(F2&lt;&gt;"",E2&lt;&gt;""),F2-E2,"")</f>
        <v>4</v>
      </c>
      <c r="H2" t="s">
        <v>20</v>
      </c>
      <c r="I2" t="s">
        <v>27</v>
      </c>
      <c r="K2" t="str">
        <f>IF(E2&lt;&gt;"",TEXT(E2,"MMM-YYYY"),"")</f>
        <v>May-2026</v>
      </c>
      <c r="L2" t="s">
        <v>22</v>
      </c>
    </row>
    <row r="3" spans="1:12" x14ac:dyDescent="0.3">
      <c r="B3" t="s">
        <v>32</v>
      </c>
      <c r="D3" t="s">
        <v>16</v>
      </c>
      <c r="E3" s="3">
        <v>46161</v>
      </c>
      <c r="F3" s="3">
        <v>46166</v>
      </c>
      <c r="G3">
        <f t="shared" ref="G3:G28" si="0">IF(AND(F3&lt;&gt;"",E3&lt;&gt;""),F3-E3,"")</f>
        <v>5</v>
      </c>
      <c r="H3" t="s">
        <v>20</v>
      </c>
      <c r="I3" t="s">
        <v>36</v>
      </c>
      <c r="K3" t="str">
        <f t="shared" ref="K3:K28" si="1">IF(E3&lt;&gt;"",TEXT(E3,"MMM-YYYY"),"")</f>
        <v>May-2026</v>
      </c>
      <c r="L3" t="s">
        <v>22</v>
      </c>
    </row>
    <row r="4" spans="1:12" x14ac:dyDescent="0.3">
      <c r="B4" t="s">
        <v>33</v>
      </c>
      <c r="C4" t="s">
        <v>34</v>
      </c>
      <c r="D4" t="s">
        <v>16</v>
      </c>
      <c r="E4" s="3">
        <v>46161</v>
      </c>
      <c r="F4" s="3">
        <v>46166</v>
      </c>
      <c r="G4">
        <f t="shared" si="0"/>
        <v>5</v>
      </c>
      <c r="H4" t="s">
        <v>35</v>
      </c>
      <c r="K4" t="str">
        <f t="shared" si="1"/>
        <v>May-2026</v>
      </c>
      <c r="L4" t="s">
        <v>22</v>
      </c>
    </row>
    <row r="5" spans="1:12" x14ac:dyDescent="0.3">
      <c r="B5" s="6" t="s">
        <v>38</v>
      </c>
      <c r="D5" t="s">
        <v>16</v>
      </c>
      <c r="E5" s="3">
        <v>46169</v>
      </c>
      <c r="G5" t="str">
        <f t="shared" si="0"/>
        <v/>
      </c>
      <c r="H5" t="s">
        <v>41</v>
      </c>
      <c r="I5" t="s">
        <v>27</v>
      </c>
      <c r="K5" t="str">
        <f t="shared" si="1"/>
        <v>May-2026</v>
      </c>
      <c r="L5" t="s">
        <v>37</v>
      </c>
    </row>
    <row r="6" spans="1:12" x14ac:dyDescent="0.3">
      <c r="G6" t="str">
        <f t="shared" si="0"/>
        <v/>
      </c>
      <c r="K6" t="str">
        <f t="shared" si="1"/>
        <v/>
      </c>
    </row>
    <row r="7" spans="1:12" x14ac:dyDescent="0.3">
      <c r="G7" t="str">
        <f t="shared" si="0"/>
        <v/>
      </c>
      <c r="K7" t="str">
        <f t="shared" si="1"/>
        <v/>
      </c>
    </row>
    <row r="8" spans="1:12" x14ac:dyDescent="0.3">
      <c r="G8" t="str">
        <f t="shared" si="0"/>
        <v/>
      </c>
      <c r="K8" t="str">
        <f t="shared" si="1"/>
        <v/>
      </c>
    </row>
    <row r="9" spans="1:12" x14ac:dyDescent="0.3">
      <c r="G9" t="str">
        <f t="shared" si="0"/>
        <v/>
      </c>
      <c r="K9" t="str">
        <f t="shared" si="1"/>
        <v/>
      </c>
    </row>
    <row r="10" spans="1:12" x14ac:dyDescent="0.3">
      <c r="G10" t="str">
        <f t="shared" si="0"/>
        <v/>
      </c>
      <c r="K10" t="str">
        <f t="shared" si="1"/>
        <v/>
      </c>
    </row>
    <row r="11" spans="1:12" x14ac:dyDescent="0.3">
      <c r="G11" t="str">
        <f t="shared" si="0"/>
        <v/>
      </c>
      <c r="K11" t="str">
        <f t="shared" si="1"/>
        <v/>
      </c>
    </row>
    <row r="12" spans="1:12" x14ac:dyDescent="0.3">
      <c r="G12" t="str">
        <f t="shared" si="0"/>
        <v/>
      </c>
      <c r="K12" t="str">
        <f t="shared" si="1"/>
        <v/>
      </c>
    </row>
    <row r="13" spans="1:12" x14ac:dyDescent="0.3">
      <c r="G13" t="str">
        <f t="shared" si="0"/>
        <v/>
      </c>
      <c r="K13" t="str">
        <f t="shared" si="1"/>
        <v/>
      </c>
    </row>
    <row r="14" spans="1:12" x14ac:dyDescent="0.3">
      <c r="G14" t="str">
        <f t="shared" si="0"/>
        <v/>
      </c>
      <c r="K14" t="str">
        <f t="shared" si="1"/>
        <v/>
      </c>
    </row>
    <row r="15" spans="1:12" x14ac:dyDescent="0.3">
      <c r="G15" t="str">
        <f t="shared" si="0"/>
        <v/>
      </c>
      <c r="K15" t="str">
        <f t="shared" si="1"/>
        <v/>
      </c>
    </row>
    <row r="16" spans="1:12" x14ac:dyDescent="0.3">
      <c r="G16" t="str">
        <f t="shared" si="0"/>
        <v/>
      </c>
      <c r="K16" t="str">
        <f t="shared" si="1"/>
        <v/>
      </c>
    </row>
    <row r="17" spans="7:11" x14ac:dyDescent="0.3">
      <c r="G17" t="str">
        <f t="shared" si="0"/>
        <v/>
      </c>
      <c r="K17" t="str">
        <f t="shared" si="1"/>
        <v/>
      </c>
    </row>
    <row r="18" spans="7:11" x14ac:dyDescent="0.3">
      <c r="G18" t="str">
        <f t="shared" si="0"/>
        <v/>
      </c>
      <c r="K18" t="str">
        <f t="shared" si="1"/>
        <v/>
      </c>
    </row>
    <row r="19" spans="7:11" x14ac:dyDescent="0.3">
      <c r="G19" t="str">
        <f t="shared" si="0"/>
        <v/>
      </c>
      <c r="K19" t="str">
        <f t="shared" si="1"/>
        <v/>
      </c>
    </row>
    <row r="20" spans="7:11" x14ac:dyDescent="0.3">
      <c r="G20" t="str">
        <f t="shared" si="0"/>
        <v/>
      </c>
      <c r="K20" t="str">
        <f t="shared" si="1"/>
        <v/>
      </c>
    </row>
    <row r="21" spans="7:11" x14ac:dyDescent="0.3">
      <c r="G21" t="str">
        <f t="shared" si="0"/>
        <v/>
      </c>
      <c r="K21" t="str">
        <f t="shared" si="1"/>
        <v/>
      </c>
    </row>
    <row r="22" spans="7:11" x14ac:dyDescent="0.3">
      <c r="G22" t="str">
        <f t="shared" si="0"/>
        <v/>
      </c>
      <c r="K22" t="str">
        <f t="shared" si="1"/>
        <v/>
      </c>
    </row>
    <row r="23" spans="7:11" x14ac:dyDescent="0.3">
      <c r="G23" t="str">
        <f t="shared" si="0"/>
        <v/>
      </c>
      <c r="K23" t="str">
        <f t="shared" si="1"/>
        <v/>
      </c>
    </row>
    <row r="24" spans="7:11" x14ac:dyDescent="0.3">
      <c r="G24" t="str">
        <f t="shared" si="0"/>
        <v/>
      </c>
      <c r="K24" t="str">
        <f t="shared" si="1"/>
        <v/>
      </c>
    </row>
    <row r="25" spans="7:11" x14ac:dyDescent="0.3">
      <c r="G25" t="str">
        <f t="shared" si="0"/>
        <v/>
      </c>
      <c r="K25" t="str">
        <f t="shared" si="1"/>
        <v/>
      </c>
    </row>
    <row r="26" spans="7:11" x14ac:dyDescent="0.3">
      <c r="G26" t="str">
        <f t="shared" si="0"/>
        <v/>
      </c>
      <c r="K26" t="str">
        <f t="shared" si="1"/>
        <v/>
      </c>
    </row>
    <row r="27" spans="7:11" x14ac:dyDescent="0.3">
      <c r="G27" t="str">
        <f t="shared" si="0"/>
        <v/>
      </c>
      <c r="K27" t="str">
        <f t="shared" si="1"/>
        <v/>
      </c>
    </row>
    <row r="28" spans="7:11" x14ac:dyDescent="0.3">
      <c r="G28" t="str">
        <f t="shared" si="0"/>
        <v/>
      </c>
      <c r="K28" t="str">
        <f t="shared" si="1"/>
        <v/>
      </c>
    </row>
    <row r="29" spans="7:11" x14ac:dyDescent="0.3">
      <c r="G29" t="str">
        <f t="shared" ref="G29:G60" si="2">IF(AND(F29&lt;&gt;"",E29&lt;&gt;""),F29-E29,"")</f>
        <v/>
      </c>
      <c r="K29" t="str">
        <f t="shared" ref="K29:K60" si="3">IF(E29&lt;&gt;"",TEXT(E29,"MMM-YYYY"),"")</f>
        <v/>
      </c>
    </row>
    <row r="30" spans="7:11" x14ac:dyDescent="0.3">
      <c r="G30" t="str">
        <f t="shared" si="2"/>
        <v/>
      </c>
      <c r="K30" t="str">
        <f t="shared" si="3"/>
        <v/>
      </c>
    </row>
    <row r="31" spans="7:11" x14ac:dyDescent="0.3">
      <c r="G31" t="str">
        <f t="shared" si="2"/>
        <v/>
      </c>
      <c r="K31" t="str">
        <f t="shared" si="3"/>
        <v/>
      </c>
    </row>
    <row r="32" spans="7:11" x14ac:dyDescent="0.3">
      <c r="G32" t="str">
        <f t="shared" si="2"/>
        <v/>
      </c>
      <c r="K32" t="str">
        <f t="shared" si="3"/>
        <v/>
      </c>
    </row>
    <row r="33" spans="7:11" x14ac:dyDescent="0.3">
      <c r="G33" t="str">
        <f t="shared" si="2"/>
        <v/>
      </c>
      <c r="K33" t="str">
        <f t="shared" si="3"/>
        <v/>
      </c>
    </row>
    <row r="34" spans="7:11" x14ac:dyDescent="0.3">
      <c r="G34" t="str">
        <f t="shared" si="2"/>
        <v/>
      </c>
      <c r="K34" t="str">
        <f t="shared" si="3"/>
        <v/>
      </c>
    </row>
    <row r="35" spans="7:11" x14ac:dyDescent="0.3">
      <c r="G35" t="str">
        <f t="shared" si="2"/>
        <v/>
      </c>
      <c r="K35" t="str">
        <f t="shared" si="3"/>
        <v/>
      </c>
    </row>
    <row r="36" spans="7:11" x14ac:dyDescent="0.3">
      <c r="G36" t="str">
        <f t="shared" si="2"/>
        <v/>
      </c>
      <c r="K36" t="str">
        <f t="shared" si="3"/>
        <v/>
      </c>
    </row>
    <row r="37" spans="7:11" x14ac:dyDescent="0.3">
      <c r="G37" t="str">
        <f t="shared" si="2"/>
        <v/>
      </c>
      <c r="K37" t="str">
        <f t="shared" si="3"/>
        <v/>
      </c>
    </row>
    <row r="38" spans="7:11" x14ac:dyDescent="0.3">
      <c r="G38" t="str">
        <f t="shared" si="2"/>
        <v/>
      </c>
      <c r="K38" t="str">
        <f t="shared" si="3"/>
        <v/>
      </c>
    </row>
    <row r="39" spans="7:11" x14ac:dyDescent="0.3">
      <c r="G39" t="str">
        <f t="shared" si="2"/>
        <v/>
      </c>
      <c r="K39" t="str">
        <f t="shared" si="3"/>
        <v/>
      </c>
    </row>
    <row r="40" spans="7:11" x14ac:dyDescent="0.3">
      <c r="G40" t="str">
        <f t="shared" si="2"/>
        <v/>
      </c>
      <c r="K40" t="str">
        <f t="shared" si="3"/>
        <v/>
      </c>
    </row>
    <row r="41" spans="7:11" x14ac:dyDescent="0.3">
      <c r="G41" t="str">
        <f t="shared" si="2"/>
        <v/>
      </c>
      <c r="K41" t="str">
        <f t="shared" si="3"/>
        <v/>
      </c>
    </row>
    <row r="42" spans="7:11" x14ac:dyDescent="0.3">
      <c r="G42" t="str">
        <f t="shared" si="2"/>
        <v/>
      </c>
      <c r="K42" t="str">
        <f t="shared" si="3"/>
        <v/>
      </c>
    </row>
    <row r="43" spans="7:11" x14ac:dyDescent="0.3">
      <c r="G43" t="str">
        <f t="shared" si="2"/>
        <v/>
      </c>
      <c r="K43" t="str">
        <f t="shared" si="3"/>
        <v/>
      </c>
    </row>
    <row r="44" spans="7:11" x14ac:dyDescent="0.3">
      <c r="G44" t="str">
        <f t="shared" si="2"/>
        <v/>
      </c>
      <c r="K44" t="str">
        <f t="shared" si="3"/>
        <v/>
      </c>
    </row>
    <row r="45" spans="7:11" x14ac:dyDescent="0.3">
      <c r="G45" t="str">
        <f t="shared" si="2"/>
        <v/>
      </c>
      <c r="K45" t="str">
        <f t="shared" si="3"/>
        <v/>
      </c>
    </row>
    <row r="46" spans="7:11" x14ac:dyDescent="0.3">
      <c r="G46" t="str">
        <f t="shared" si="2"/>
        <v/>
      </c>
      <c r="K46" t="str">
        <f t="shared" si="3"/>
        <v/>
      </c>
    </row>
    <row r="47" spans="7:11" x14ac:dyDescent="0.3">
      <c r="G47" t="str">
        <f t="shared" si="2"/>
        <v/>
      </c>
      <c r="K47" t="str">
        <f t="shared" si="3"/>
        <v/>
      </c>
    </row>
    <row r="48" spans="7:11" x14ac:dyDescent="0.3">
      <c r="G48" t="str">
        <f t="shared" si="2"/>
        <v/>
      </c>
      <c r="K48" t="str">
        <f t="shared" si="3"/>
        <v/>
      </c>
    </row>
    <row r="49" spans="7:11" x14ac:dyDescent="0.3">
      <c r="G49" t="str">
        <f t="shared" si="2"/>
        <v/>
      </c>
      <c r="K49" t="str">
        <f t="shared" si="3"/>
        <v/>
      </c>
    </row>
    <row r="50" spans="7:11" x14ac:dyDescent="0.3">
      <c r="G50" t="str">
        <f t="shared" si="2"/>
        <v/>
      </c>
      <c r="K50" t="str">
        <f t="shared" si="3"/>
        <v/>
      </c>
    </row>
    <row r="51" spans="7:11" x14ac:dyDescent="0.3">
      <c r="G51" t="str">
        <f t="shared" si="2"/>
        <v/>
      </c>
      <c r="K51" t="str">
        <f t="shared" si="3"/>
        <v/>
      </c>
    </row>
    <row r="52" spans="7:11" x14ac:dyDescent="0.3">
      <c r="G52" t="str">
        <f t="shared" si="2"/>
        <v/>
      </c>
      <c r="K52" t="str">
        <f t="shared" si="3"/>
        <v/>
      </c>
    </row>
    <row r="53" spans="7:11" x14ac:dyDescent="0.3">
      <c r="G53" t="str">
        <f t="shared" si="2"/>
        <v/>
      </c>
      <c r="K53" t="str">
        <f t="shared" si="3"/>
        <v/>
      </c>
    </row>
    <row r="54" spans="7:11" x14ac:dyDescent="0.3">
      <c r="G54" t="str">
        <f t="shared" si="2"/>
        <v/>
      </c>
      <c r="K54" t="str">
        <f t="shared" si="3"/>
        <v/>
      </c>
    </row>
    <row r="55" spans="7:11" x14ac:dyDescent="0.3">
      <c r="G55" t="str">
        <f t="shared" si="2"/>
        <v/>
      </c>
      <c r="K55" t="str">
        <f t="shared" si="3"/>
        <v/>
      </c>
    </row>
    <row r="56" spans="7:11" x14ac:dyDescent="0.3">
      <c r="G56" t="str">
        <f t="shared" si="2"/>
        <v/>
      </c>
      <c r="K56" t="str">
        <f t="shared" si="3"/>
        <v/>
      </c>
    </row>
    <row r="57" spans="7:11" x14ac:dyDescent="0.3">
      <c r="G57" t="str">
        <f t="shared" si="2"/>
        <v/>
      </c>
      <c r="K57" t="str">
        <f t="shared" si="3"/>
        <v/>
      </c>
    </row>
    <row r="58" spans="7:11" x14ac:dyDescent="0.3">
      <c r="G58" t="str">
        <f t="shared" si="2"/>
        <v/>
      </c>
      <c r="K58" t="str">
        <f t="shared" si="3"/>
        <v/>
      </c>
    </row>
    <row r="59" spans="7:11" x14ac:dyDescent="0.3">
      <c r="G59" t="str">
        <f t="shared" si="2"/>
        <v/>
      </c>
      <c r="K59" t="str">
        <f t="shared" si="3"/>
        <v/>
      </c>
    </row>
    <row r="60" spans="7:11" x14ac:dyDescent="0.3">
      <c r="G60" t="str">
        <f t="shared" si="2"/>
        <v/>
      </c>
      <c r="K60" t="str">
        <f t="shared" si="3"/>
        <v/>
      </c>
    </row>
    <row r="61" spans="7:11" x14ac:dyDescent="0.3">
      <c r="G61" t="str">
        <f t="shared" ref="G61:G92" si="4">IF(AND(F61&lt;&gt;"",E61&lt;&gt;""),F61-E61,"")</f>
        <v/>
      </c>
      <c r="K61" t="str">
        <f t="shared" ref="K61:K94" si="5">IF(E61&lt;&gt;"",TEXT(E61,"MMM-YYYY"),"")</f>
        <v/>
      </c>
    </row>
    <row r="62" spans="7:11" x14ac:dyDescent="0.3">
      <c r="G62" t="str">
        <f t="shared" si="4"/>
        <v/>
      </c>
      <c r="K62" t="str">
        <f t="shared" si="5"/>
        <v/>
      </c>
    </row>
    <row r="63" spans="7:11" x14ac:dyDescent="0.3">
      <c r="G63" t="str">
        <f t="shared" si="4"/>
        <v/>
      </c>
      <c r="K63" t="str">
        <f t="shared" si="5"/>
        <v/>
      </c>
    </row>
    <row r="64" spans="7:11" x14ac:dyDescent="0.3">
      <c r="G64" t="str">
        <f t="shared" si="4"/>
        <v/>
      </c>
      <c r="K64" t="str">
        <f t="shared" si="5"/>
        <v/>
      </c>
    </row>
    <row r="65" spans="7:11" x14ac:dyDescent="0.3">
      <c r="G65" t="str">
        <f t="shared" si="4"/>
        <v/>
      </c>
      <c r="K65" t="str">
        <f t="shared" si="5"/>
        <v/>
      </c>
    </row>
    <row r="66" spans="7:11" x14ac:dyDescent="0.3">
      <c r="G66" t="str">
        <f t="shared" si="4"/>
        <v/>
      </c>
      <c r="K66" t="str">
        <f t="shared" si="5"/>
        <v/>
      </c>
    </row>
    <row r="67" spans="7:11" x14ac:dyDescent="0.3">
      <c r="G67" t="str">
        <f t="shared" si="4"/>
        <v/>
      </c>
      <c r="K67" t="str">
        <f t="shared" si="5"/>
        <v/>
      </c>
    </row>
    <row r="68" spans="7:11" x14ac:dyDescent="0.3">
      <c r="G68" t="str">
        <f t="shared" si="4"/>
        <v/>
      </c>
      <c r="K68" t="str">
        <f t="shared" si="5"/>
        <v/>
      </c>
    </row>
    <row r="69" spans="7:11" x14ac:dyDescent="0.3">
      <c r="G69" t="str">
        <f t="shared" si="4"/>
        <v/>
      </c>
      <c r="K69" t="str">
        <f t="shared" si="5"/>
        <v/>
      </c>
    </row>
    <row r="70" spans="7:11" x14ac:dyDescent="0.3">
      <c r="G70" t="str">
        <f t="shared" si="4"/>
        <v/>
      </c>
      <c r="K70" t="str">
        <f t="shared" si="5"/>
        <v/>
      </c>
    </row>
    <row r="71" spans="7:11" x14ac:dyDescent="0.3">
      <c r="G71" t="str">
        <f t="shared" si="4"/>
        <v/>
      </c>
      <c r="K71" t="str">
        <f t="shared" si="5"/>
        <v/>
      </c>
    </row>
    <row r="72" spans="7:11" x14ac:dyDescent="0.3">
      <c r="G72" t="str">
        <f t="shared" si="4"/>
        <v/>
      </c>
      <c r="K72" t="str">
        <f t="shared" si="5"/>
        <v/>
      </c>
    </row>
    <row r="73" spans="7:11" x14ac:dyDescent="0.3">
      <c r="G73" t="str">
        <f t="shared" si="4"/>
        <v/>
      </c>
      <c r="K73" t="str">
        <f t="shared" si="5"/>
        <v/>
      </c>
    </row>
    <row r="74" spans="7:11" x14ac:dyDescent="0.3">
      <c r="G74" t="str">
        <f t="shared" si="4"/>
        <v/>
      </c>
      <c r="K74" t="str">
        <f t="shared" si="5"/>
        <v/>
      </c>
    </row>
    <row r="75" spans="7:11" x14ac:dyDescent="0.3">
      <c r="G75" t="str">
        <f t="shared" si="4"/>
        <v/>
      </c>
      <c r="K75" t="str">
        <f t="shared" si="5"/>
        <v/>
      </c>
    </row>
    <row r="76" spans="7:11" x14ac:dyDescent="0.3">
      <c r="G76" t="str">
        <f t="shared" si="4"/>
        <v/>
      </c>
      <c r="K76" t="str">
        <f t="shared" si="5"/>
        <v/>
      </c>
    </row>
    <row r="77" spans="7:11" x14ac:dyDescent="0.3">
      <c r="G77" t="str">
        <f t="shared" si="4"/>
        <v/>
      </c>
      <c r="K77" t="str">
        <f t="shared" si="5"/>
        <v/>
      </c>
    </row>
    <row r="78" spans="7:11" x14ac:dyDescent="0.3">
      <c r="G78" t="str">
        <f t="shared" si="4"/>
        <v/>
      </c>
      <c r="K78" t="str">
        <f t="shared" si="5"/>
        <v/>
      </c>
    </row>
    <row r="79" spans="7:11" x14ac:dyDescent="0.3">
      <c r="G79" t="str">
        <f t="shared" si="4"/>
        <v/>
      </c>
      <c r="K79" t="str">
        <f t="shared" si="5"/>
        <v/>
      </c>
    </row>
    <row r="80" spans="7:11" x14ac:dyDescent="0.3">
      <c r="G80" t="str">
        <f t="shared" si="4"/>
        <v/>
      </c>
      <c r="K80" t="str">
        <f t="shared" si="5"/>
        <v/>
      </c>
    </row>
    <row r="81" spans="7:11" x14ac:dyDescent="0.3">
      <c r="G81" t="str">
        <f t="shared" si="4"/>
        <v/>
      </c>
      <c r="K81" t="str">
        <f t="shared" si="5"/>
        <v/>
      </c>
    </row>
    <row r="82" spans="7:11" x14ac:dyDescent="0.3">
      <c r="G82" t="str">
        <f t="shared" si="4"/>
        <v/>
      </c>
      <c r="K82" t="str">
        <f t="shared" si="5"/>
        <v/>
      </c>
    </row>
    <row r="83" spans="7:11" x14ac:dyDescent="0.3">
      <c r="G83" t="str">
        <f t="shared" si="4"/>
        <v/>
      </c>
      <c r="K83" t="str">
        <f t="shared" si="5"/>
        <v/>
      </c>
    </row>
    <row r="84" spans="7:11" x14ac:dyDescent="0.3">
      <c r="G84" t="str">
        <f t="shared" si="4"/>
        <v/>
      </c>
      <c r="K84" t="str">
        <f t="shared" si="5"/>
        <v/>
      </c>
    </row>
    <row r="85" spans="7:11" x14ac:dyDescent="0.3">
      <c r="G85" t="str">
        <f t="shared" si="4"/>
        <v/>
      </c>
      <c r="K85" t="str">
        <f t="shared" si="5"/>
        <v/>
      </c>
    </row>
    <row r="86" spans="7:11" x14ac:dyDescent="0.3">
      <c r="G86" t="str">
        <f t="shared" si="4"/>
        <v/>
      </c>
      <c r="K86" t="str">
        <f t="shared" si="5"/>
        <v/>
      </c>
    </row>
    <row r="87" spans="7:11" x14ac:dyDescent="0.3">
      <c r="G87" t="str">
        <f t="shared" si="4"/>
        <v/>
      </c>
      <c r="K87" t="str">
        <f t="shared" si="5"/>
        <v/>
      </c>
    </row>
    <row r="88" spans="7:11" x14ac:dyDescent="0.3">
      <c r="G88" t="str">
        <f t="shared" si="4"/>
        <v/>
      </c>
      <c r="K88" t="str">
        <f t="shared" si="5"/>
        <v/>
      </c>
    </row>
    <row r="89" spans="7:11" x14ac:dyDescent="0.3">
      <c r="G89" t="str">
        <f t="shared" si="4"/>
        <v/>
      </c>
      <c r="K89" t="str">
        <f t="shared" si="5"/>
        <v/>
      </c>
    </row>
    <row r="90" spans="7:11" x14ac:dyDescent="0.3">
      <c r="G90" t="str">
        <f t="shared" si="4"/>
        <v/>
      </c>
      <c r="K90" t="str">
        <f t="shared" si="5"/>
        <v/>
      </c>
    </row>
    <row r="91" spans="7:11" x14ac:dyDescent="0.3">
      <c r="G91" t="str">
        <f t="shared" si="4"/>
        <v/>
      </c>
      <c r="K91" t="str">
        <f t="shared" si="5"/>
        <v/>
      </c>
    </row>
    <row r="92" spans="7:11" x14ac:dyDescent="0.3">
      <c r="G92" t="str">
        <f t="shared" si="4"/>
        <v/>
      </c>
      <c r="K92" t="str">
        <f t="shared" si="5"/>
        <v/>
      </c>
    </row>
    <row r="93" spans="7:11" x14ac:dyDescent="0.3">
      <c r="G93" t="str">
        <f t="shared" ref="G93:G94" si="6">IF(AND(F93&lt;&gt;"",E93&lt;&gt;""),F93-E93,"")</f>
        <v/>
      </c>
      <c r="K93" t="str">
        <f t="shared" si="5"/>
        <v/>
      </c>
    </row>
    <row r="94" spans="7:11" x14ac:dyDescent="0.3">
      <c r="G94" t="str">
        <f t="shared" si="6"/>
        <v/>
      </c>
      <c r="K94" t="str">
        <f t="shared" si="5"/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selection activeCell="A6" sqref="A6"/>
    </sheetView>
  </sheetViews>
  <sheetFormatPr defaultRowHeight="14.4" x14ac:dyDescent="0.3"/>
  <cols>
    <col min="1" max="2" width="18" customWidth="1"/>
    <col min="3" max="4" width="20" customWidth="1"/>
  </cols>
  <sheetData>
    <row r="1" spans="1:4" x14ac:dyDescent="0.3">
      <c r="A1" s="2" t="s">
        <v>10</v>
      </c>
      <c r="B1" s="2" t="s">
        <v>12</v>
      </c>
      <c r="C1" s="2" t="s">
        <v>13</v>
      </c>
      <c r="D1" s="2" t="s">
        <v>14</v>
      </c>
    </row>
    <row r="2" spans="1:4" x14ac:dyDescent="0.3">
      <c r="A2" s="3">
        <v>46143</v>
      </c>
      <c r="B2">
        <f>COUNTIF('Maintenance Log'!K:K,A2)</f>
        <v>4</v>
      </c>
      <c r="C2">
        <f>SUMIF('Maintenance Log'!K:K,A2,'Maintenance Log'!J:J)</f>
        <v>0</v>
      </c>
      <c r="D2">
        <f>AVERAGEIF('Maintenance Log'!K:K,A2,'Maintenance Log'!G:G)</f>
        <v>4.666666666666667</v>
      </c>
    </row>
    <row r="3" spans="1:4" x14ac:dyDescent="0.3">
      <c r="B3">
        <f>COUNTIF('Maintenance Log'!K:K,A3)</f>
        <v>0</v>
      </c>
      <c r="C3">
        <f>SUMIF('Maintenance Log'!K:K,A3,'Maintenance Log'!J:J)</f>
        <v>0</v>
      </c>
      <c r="D3" t="e">
        <f>AVERAGEIF('Maintenance Log'!K:K,A3,'Maintenance Log'!G:G)</f>
        <v>#DIV/0!</v>
      </c>
    </row>
    <row r="4" spans="1:4" x14ac:dyDescent="0.3">
      <c r="B4">
        <f>COUNTIF('Maintenance Log'!K:K,A4)</f>
        <v>0</v>
      </c>
      <c r="C4">
        <f>SUMIF('Maintenance Log'!K:K,A4,'Maintenance Log'!J:J)</f>
        <v>0</v>
      </c>
      <c r="D4" t="e">
        <f>AVERAGEIF('Maintenance Log'!K:K,A4,'Maintenance Log'!G:G)</f>
        <v>#DIV/0!</v>
      </c>
    </row>
    <row r="5" spans="1:4" x14ac:dyDescent="0.3">
      <c r="B5">
        <f>COUNTIF('Maintenance Log'!K:K,A5)</f>
        <v>0</v>
      </c>
      <c r="C5">
        <f>SUMIF('Maintenance Log'!K:K,A5,'Maintenance Log'!J:J)</f>
        <v>0</v>
      </c>
      <c r="D5" t="e">
        <f>AVERAGEIF('Maintenance Log'!K:K,A5,'Maintenance Log'!G:G)</f>
        <v>#DIV/0!</v>
      </c>
    </row>
    <row r="6" spans="1:4" x14ac:dyDescent="0.3">
      <c r="B6">
        <f>COUNTIF('Maintenance Log'!K:K,A6)</f>
        <v>0</v>
      </c>
      <c r="C6">
        <f>SUMIF('Maintenance Log'!K:K,A6,'Maintenance Log'!J:J)</f>
        <v>0</v>
      </c>
      <c r="D6" t="e">
        <f>AVERAGEIF('Maintenance Log'!K:K,A6,'Maintenance Log'!G:G)</f>
        <v>#DIV/0!</v>
      </c>
    </row>
    <row r="7" spans="1:4" x14ac:dyDescent="0.3">
      <c r="B7">
        <f>COUNTIF('Maintenance Log'!K:K,A7)</f>
        <v>0</v>
      </c>
      <c r="C7">
        <f>SUMIF('Maintenance Log'!K:K,A7,'Maintenance Log'!J:J)</f>
        <v>0</v>
      </c>
      <c r="D7" t="e">
        <f>AVERAGEIF('Maintenance Log'!K:K,A7,'Maintenance Log'!G:G)</f>
        <v>#DIV/0!</v>
      </c>
    </row>
    <row r="8" spans="1:4" x14ac:dyDescent="0.3">
      <c r="B8">
        <f>COUNTIF('Maintenance Log'!K:K,A8)</f>
        <v>0</v>
      </c>
      <c r="C8">
        <f>SUMIF('Maintenance Log'!K:K,A8,'Maintenance Log'!J:J)</f>
        <v>0</v>
      </c>
      <c r="D8" t="e">
        <f>AVERAGEIF('Maintenance Log'!K:K,A8,'Maintenance Log'!G:G)</f>
        <v>#DIV/0!</v>
      </c>
    </row>
    <row r="9" spans="1:4" x14ac:dyDescent="0.3">
      <c r="B9">
        <f>COUNTIF('Maintenance Log'!K:K,A9)</f>
        <v>0</v>
      </c>
      <c r="C9">
        <f>SUMIF('Maintenance Log'!K:K,A9,'Maintenance Log'!J:J)</f>
        <v>0</v>
      </c>
      <c r="D9" t="e">
        <f>AVERAGEIF('Maintenance Log'!K:K,A9,'Maintenance Log'!G:G)</f>
        <v>#DIV/0!</v>
      </c>
    </row>
    <row r="10" spans="1:4" x14ac:dyDescent="0.3">
      <c r="B10">
        <f>COUNTIF('Maintenance Log'!K:K,A10)</f>
        <v>0</v>
      </c>
      <c r="C10">
        <f>SUMIF('Maintenance Log'!K:K,A10,'Maintenance Log'!J:J)</f>
        <v>0</v>
      </c>
      <c r="D10" t="e">
        <f>AVERAGEIF('Maintenance Log'!K:K,A10,'Maintenance Log'!G:G)</f>
        <v>#DIV/0!</v>
      </c>
    </row>
    <row r="11" spans="1:4" x14ac:dyDescent="0.3">
      <c r="B11">
        <f>COUNTIF('Maintenance Log'!K:K,A11)</f>
        <v>0</v>
      </c>
      <c r="C11">
        <f>SUMIF('Maintenance Log'!K:K,A11,'Maintenance Log'!J:J)</f>
        <v>0</v>
      </c>
      <c r="D11" t="e">
        <f>AVERAGEIF('Maintenance Log'!K:K,A11,'Maintenance Log'!G:G)</f>
        <v>#DIV/0!</v>
      </c>
    </row>
    <row r="12" spans="1:4" x14ac:dyDescent="0.3">
      <c r="B12">
        <f>COUNTIF('Maintenance Log'!K:K,A12)</f>
        <v>0</v>
      </c>
      <c r="C12">
        <f>SUMIF('Maintenance Log'!K:K,A12,'Maintenance Log'!J:J)</f>
        <v>0</v>
      </c>
      <c r="D12" t="e">
        <f>AVERAGEIF('Maintenance Log'!K:K,A12,'Maintenance Log'!G:G)</f>
        <v>#DIV/0!</v>
      </c>
    </row>
    <row r="13" spans="1:4" x14ac:dyDescent="0.3">
      <c r="B13">
        <f>COUNTIF('Maintenance Log'!K:K,A13)</f>
        <v>0</v>
      </c>
      <c r="C13">
        <f>SUMIF('Maintenance Log'!K:K,A13,'Maintenance Log'!J:J)</f>
        <v>0</v>
      </c>
      <c r="D13" t="e">
        <f>AVERAGEIF('Maintenance Log'!K:K,A13,'Maintenance Log'!G:G)</f>
        <v>#DIV/0!</v>
      </c>
    </row>
    <row r="14" spans="1:4" x14ac:dyDescent="0.3">
      <c r="B14">
        <f>COUNTIF('Maintenance Log'!K:K,A14)</f>
        <v>0</v>
      </c>
      <c r="C14">
        <f>SUMIF('Maintenance Log'!K:K,A14,'Maintenance Log'!J:J)</f>
        <v>0</v>
      </c>
      <c r="D14" t="e">
        <f>AVERAGEIF('Maintenance Log'!K:K,A14,'Maintenance Log'!G:G)</f>
        <v>#DIV/0!</v>
      </c>
    </row>
    <row r="15" spans="1:4" x14ac:dyDescent="0.3">
      <c r="B15">
        <f>COUNTIF('Maintenance Log'!K:K,A15)</f>
        <v>0</v>
      </c>
      <c r="C15">
        <f>SUMIF('Maintenance Log'!K:K,A15,'Maintenance Log'!J:J)</f>
        <v>0</v>
      </c>
      <c r="D15" t="e">
        <f>AVERAGEIF('Maintenance Log'!K:K,A15,'Maintenance Log'!G:G)</f>
        <v>#DIV/0!</v>
      </c>
    </row>
    <row r="16" spans="1:4" x14ac:dyDescent="0.3">
      <c r="B16">
        <f>COUNTIF('Maintenance Log'!K:K,A16)</f>
        <v>0</v>
      </c>
      <c r="C16">
        <f>SUMIF('Maintenance Log'!K:K,A16,'Maintenance Log'!J:J)</f>
        <v>0</v>
      </c>
      <c r="D16" t="e">
        <f>AVERAGEIF('Maintenance Log'!K:K,A16,'Maintenance Log'!G:G)</f>
        <v>#DIV/0!</v>
      </c>
    </row>
    <row r="17" spans="2:4" x14ac:dyDescent="0.3">
      <c r="B17">
        <f>COUNTIF('Maintenance Log'!K:K,A17)</f>
        <v>0</v>
      </c>
      <c r="C17">
        <f>SUMIF('Maintenance Log'!K:K,A17,'Maintenance Log'!J:J)</f>
        <v>0</v>
      </c>
      <c r="D17" t="e">
        <f>AVERAGEIF('Maintenance Log'!K:K,A17,'Maintenance Log'!G:G)</f>
        <v>#DIV/0!</v>
      </c>
    </row>
    <row r="18" spans="2:4" x14ac:dyDescent="0.3">
      <c r="B18">
        <f>COUNTIF('Maintenance Log'!K:K,A18)</f>
        <v>0</v>
      </c>
      <c r="C18">
        <f>SUMIF('Maintenance Log'!K:K,A18,'Maintenance Log'!J:J)</f>
        <v>0</v>
      </c>
      <c r="D18" t="e">
        <f>AVERAGEIF('Maintenance Log'!K:K,A18,'Maintenance Log'!G:G)</f>
        <v>#DIV/0!</v>
      </c>
    </row>
    <row r="19" spans="2:4" x14ac:dyDescent="0.3">
      <c r="B19">
        <f>COUNTIF('Maintenance Log'!K:K,A19)</f>
        <v>0</v>
      </c>
      <c r="C19">
        <f>SUMIF('Maintenance Log'!K:K,A19,'Maintenance Log'!J:J)</f>
        <v>0</v>
      </c>
      <c r="D19" t="e">
        <f>AVERAGEIF('Maintenance Log'!K:K,A19,'Maintenance Log'!G:G)</f>
        <v>#DIV/0!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selection activeCell="A7" sqref="A7"/>
    </sheetView>
  </sheetViews>
  <sheetFormatPr defaultRowHeight="14.4" x14ac:dyDescent="0.3"/>
  <cols>
    <col min="1" max="1" width="20" customWidth="1"/>
    <col min="2" max="2" width="18" customWidth="1"/>
    <col min="3" max="4" width="20" customWidth="1"/>
  </cols>
  <sheetData>
    <row r="1" spans="1:4" x14ac:dyDescent="0.3">
      <c r="A1" s="2" t="s">
        <v>2</v>
      </c>
      <c r="B1" s="2" t="s">
        <v>15</v>
      </c>
      <c r="C1" s="2" t="s">
        <v>13</v>
      </c>
      <c r="D1" s="2" t="s">
        <v>14</v>
      </c>
    </row>
    <row r="2" spans="1:4" x14ac:dyDescent="0.3">
      <c r="A2" t="s">
        <v>26</v>
      </c>
      <c r="B2">
        <f>COUNTIF('Maintenance Log'!C:C,A2)</f>
        <v>1</v>
      </c>
      <c r="C2">
        <f>SUMIF('Maintenance Log'!C:C,A2,'Maintenance Log'!J:J)</f>
        <v>0</v>
      </c>
      <c r="D2">
        <f>AVERAGEIF('Maintenance Log'!C:C,A2,'Maintenance Log'!G:G)</f>
        <v>4</v>
      </c>
    </row>
    <row r="3" spans="1:4" x14ac:dyDescent="0.3">
      <c r="B3">
        <f>COUNTIF('Maintenance Log'!C:C,A3)</f>
        <v>0</v>
      </c>
      <c r="C3">
        <f>SUMIF('Maintenance Log'!C:C,A3,'Maintenance Log'!J:J)</f>
        <v>0</v>
      </c>
      <c r="D3" t="e">
        <f>AVERAGEIF('Maintenance Log'!C:C,A3,'Maintenance Log'!G:G)</f>
        <v>#DIV/0!</v>
      </c>
    </row>
    <row r="4" spans="1:4" x14ac:dyDescent="0.3">
      <c r="B4">
        <f>COUNTIF('Maintenance Log'!C:C,A4)</f>
        <v>0</v>
      </c>
      <c r="C4">
        <f>SUMIF('Maintenance Log'!C:C,A4,'Maintenance Log'!J:J)</f>
        <v>0</v>
      </c>
      <c r="D4" t="e">
        <f>AVERAGEIF('Maintenance Log'!C:C,A4,'Maintenance Log'!G:G)</f>
        <v>#DIV/0!</v>
      </c>
    </row>
    <row r="5" spans="1:4" x14ac:dyDescent="0.3">
      <c r="B5">
        <f>COUNTIF('Maintenance Log'!C:C,A5)</f>
        <v>0</v>
      </c>
      <c r="C5">
        <f>SUMIF('Maintenance Log'!C:C,A5,'Maintenance Log'!J:J)</f>
        <v>0</v>
      </c>
      <c r="D5" t="e">
        <f>AVERAGEIF('Maintenance Log'!C:C,A5,'Maintenance Log'!G:G)</f>
        <v>#DIV/0!</v>
      </c>
    </row>
    <row r="6" spans="1:4" x14ac:dyDescent="0.3">
      <c r="B6">
        <f>COUNTIF('Maintenance Log'!C:C,A6)</f>
        <v>0</v>
      </c>
      <c r="C6">
        <f>SUMIF('Maintenance Log'!C:C,A6,'Maintenance Log'!J:J)</f>
        <v>0</v>
      </c>
      <c r="D6" t="e">
        <f>AVERAGEIF('Maintenance Log'!C:C,A6,'Maintenance Log'!G:G)</f>
        <v>#DIV/0!</v>
      </c>
    </row>
    <row r="7" spans="1:4" x14ac:dyDescent="0.3">
      <c r="B7">
        <f>COUNTIF('Maintenance Log'!C:C,A7)</f>
        <v>0</v>
      </c>
      <c r="C7">
        <f>SUMIF('Maintenance Log'!C:C,A7,'Maintenance Log'!J:J)</f>
        <v>0</v>
      </c>
      <c r="D7" t="e">
        <f>AVERAGEIF('Maintenance Log'!C:C,A7,'Maintenance Log'!G:G)</f>
        <v>#DIV/0!</v>
      </c>
    </row>
    <row r="8" spans="1:4" x14ac:dyDescent="0.3">
      <c r="B8">
        <f>COUNTIF('Maintenance Log'!C:C,A8)</f>
        <v>0</v>
      </c>
      <c r="C8">
        <f>SUMIF('Maintenance Log'!C:C,A8,'Maintenance Log'!J:J)</f>
        <v>0</v>
      </c>
      <c r="D8" t="e">
        <f>AVERAGEIF('Maintenance Log'!C:C,A8,'Maintenance Log'!G:G)</f>
        <v>#DIV/0!</v>
      </c>
    </row>
    <row r="9" spans="1:4" x14ac:dyDescent="0.3">
      <c r="B9">
        <f>COUNTIF('Maintenance Log'!C:C,A9)</f>
        <v>0</v>
      </c>
      <c r="C9">
        <f>SUMIF('Maintenance Log'!C:C,A9,'Maintenance Log'!J:J)</f>
        <v>0</v>
      </c>
      <c r="D9" t="e">
        <f>AVERAGEIF('Maintenance Log'!C:C,A9,'Maintenance Log'!G:G)</f>
        <v>#DIV/0!</v>
      </c>
    </row>
    <row r="10" spans="1:4" x14ac:dyDescent="0.3">
      <c r="B10">
        <f>COUNTIF('Maintenance Log'!C:C,A10)</f>
        <v>0</v>
      </c>
      <c r="C10">
        <f>SUMIF('Maintenance Log'!C:C,A10,'Maintenance Log'!J:J)</f>
        <v>0</v>
      </c>
      <c r="D10" t="e">
        <f>AVERAGEIF('Maintenance Log'!C:C,A10,'Maintenance Log'!G:G)</f>
        <v>#DIV/0!</v>
      </c>
    </row>
    <row r="11" spans="1:4" x14ac:dyDescent="0.3">
      <c r="B11">
        <f>COUNTIF('Maintenance Log'!C:C,A11)</f>
        <v>0</v>
      </c>
      <c r="C11">
        <f>SUMIF('Maintenance Log'!C:C,A11,'Maintenance Log'!J:J)</f>
        <v>0</v>
      </c>
      <c r="D11" t="e">
        <f>AVERAGEIF('Maintenance Log'!C:C,A11,'Maintenance Log'!G:G)</f>
        <v>#DIV/0!</v>
      </c>
    </row>
    <row r="12" spans="1:4" x14ac:dyDescent="0.3">
      <c r="B12">
        <f>COUNTIF('Maintenance Log'!C:C,A12)</f>
        <v>0</v>
      </c>
      <c r="C12">
        <f>SUMIF('Maintenance Log'!C:C,A12,'Maintenance Log'!J:J)</f>
        <v>0</v>
      </c>
      <c r="D12" t="e">
        <f>AVERAGEIF('Maintenance Log'!C:C,A12,'Maintenance Log'!G:G)</f>
        <v>#DIV/0!</v>
      </c>
    </row>
    <row r="13" spans="1:4" x14ac:dyDescent="0.3">
      <c r="B13">
        <f>COUNTIF('Maintenance Log'!C:C,A13)</f>
        <v>0</v>
      </c>
      <c r="C13">
        <f>SUMIF('Maintenance Log'!C:C,A13,'Maintenance Log'!J:J)</f>
        <v>0</v>
      </c>
      <c r="D13" t="e">
        <f>AVERAGEIF('Maintenance Log'!C:C,A13,'Maintenance Log'!G:G)</f>
        <v>#DIV/0!</v>
      </c>
    </row>
    <row r="14" spans="1:4" x14ac:dyDescent="0.3">
      <c r="B14">
        <f>COUNTIF('Maintenance Log'!C:C,A14)</f>
        <v>0</v>
      </c>
      <c r="C14">
        <f>SUMIF('Maintenance Log'!C:C,A14,'Maintenance Log'!J:J)</f>
        <v>0</v>
      </c>
      <c r="D14" t="e">
        <f>AVERAGEIF('Maintenance Log'!C:C,A14,'Maintenance Log'!G:G)</f>
        <v>#DIV/0!</v>
      </c>
    </row>
    <row r="15" spans="1:4" x14ac:dyDescent="0.3">
      <c r="B15">
        <f>COUNTIF('Maintenance Log'!C:C,A15)</f>
        <v>0</v>
      </c>
      <c r="C15">
        <f>SUMIF('Maintenance Log'!C:C,A15,'Maintenance Log'!J:J)</f>
        <v>0</v>
      </c>
      <c r="D15" t="e">
        <f>AVERAGEIF('Maintenance Log'!C:C,A15,'Maintenance Log'!G:G)</f>
        <v>#DIV/0!</v>
      </c>
    </row>
    <row r="16" spans="1:4" x14ac:dyDescent="0.3">
      <c r="B16">
        <f>COUNTIF('Maintenance Log'!C:C,A16)</f>
        <v>0</v>
      </c>
      <c r="C16">
        <f>SUMIF('Maintenance Log'!C:C,A16,'Maintenance Log'!J:J)</f>
        <v>0</v>
      </c>
      <c r="D16" t="e">
        <f>AVERAGEIF('Maintenance Log'!C:C,A16,'Maintenance Log'!G:G)</f>
        <v>#DIV/0!</v>
      </c>
    </row>
    <row r="17" spans="2:4" x14ac:dyDescent="0.3">
      <c r="B17">
        <f>COUNTIF('Maintenance Log'!C:C,A17)</f>
        <v>0</v>
      </c>
      <c r="C17">
        <f>SUMIF('Maintenance Log'!C:C,A17,'Maintenance Log'!J:J)</f>
        <v>0</v>
      </c>
      <c r="D17" t="e">
        <f>AVERAGEIF('Maintenance Log'!C:C,A17,'Maintenance Log'!G:G)</f>
        <v>#DIV/0!</v>
      </c>
    </row>
    <row r="18" spans="2:4" x14ac:dyDescent="0.3">
      <c r="B18">
        <f>COUNTIF('Maintenance Log'!C:C,A18)</f>
        <v>0</v>
      </c>
      <c r="C18">
        <f>SUMIF('Maintenance Log'!C:C,A18,'Maintenance Log'!J:J)</f>
        <v>0</v>
      </c>
      <c r="D18" t="e">
        <f>AVERAGEIF('Maintenance Log'!C:C,A18,'Maintenance Log'!G:G)</f>
        <v>#DIV/0!</v>
      </c>
    </row>
    <row r="19" spans="2:4" x14ac:dyDescent="0.3">
      <c r="B19">
        <f>COUNTIF('Maintenance Log'!C:C,A19)</f>
        <v>0</v>
      </c>
      <c r="C19">
        <f>SUMIF('Maintenance Log'!C:C,A19,'Maintenance Log'!J:J)</f>
        <v>0</v>
      </c>
      <c r="D19" t="e">
        <f>AVERAGEIF('Maintenance Log'!C:C,A19,'Maintenance Log'!G:G)</f>
        <v>#DIV/0!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F603D-82AF-4F80-ADC8-B0AF889A9B9D}">
  <dimension ref="A1:D5"/>
  <sheetViews>
    <sheetView workbookViewId="0">
      <selection activeCell="B7" sqref="B7"/>
    </sheetView>
  </sheetViews>
  <sheetFormatPr defaultRowHeight="14.4" x14ac:dyDescent="0.3"/>
  <cols>
    <col min="4" max="4" width="12.88671875" bestFit="1" customWidth="1"/>
  </cols>
  <sheetData>
    <row r="1" spans="1:4" x14ac:dyDescent="0.3">
      <c r="A1" s="4" t="s">
        <v>17</v>
      </c>
      <c r="B1" s="4" t="s">
        <v>18</v>
      </c>
      <c r="C1" s="4" t="s">
        <v>19</v>
      </c>
      <c r="D1" s="4" t="s">
        <v>30</v>
      </c>
    </row>
    <row r="2" spans="1:4" x14ac:dyDescent="0.3">
      <c r="A2" s="3" t="s">
        <v>25</v>
      </c>
      <c r="B2" s="3">
        <v>46128</v>
      </c>
      <c r="C2" s="3">
        <v>46157</v>
      </c>
      <c r="D2">
        <f>IF(AND(B2&lt;&gt;"",C2&lt;&gt;""),C2-B2,"")</f>
        <v>29</v>
      </c>
    </row>
    <row r="3" spans="1:4" x14ac:dyDescent="0.3">
      <c r="A3" t="s">
        <v>25</v>
      </c>
      <c r="B3" s="3">
        <v>46157</v>
      </c>
      <c r="C3" s="3">
        <v>46170</v>
      </c>
      <c r="D3">
        <f t="shared" ref="D3:D4" si="0">IF(AND(B3&lt;&gt;"",C3&lt;&gt;""),C3-B3,"")</f>
        <v>13</v>
      </c>
    </row>
    <row r="4" spans="1:4" x14ac:dyDescent="0.3">
      <c r="A4" t="s">
        <v>39</v>
      </c>
      <c r="B4" s="3">
        <v>46171</v>
      </c>
      <c r="D4" t="str">
        <f t="shared" si="0"/>
        <v/>
      </c>
    </row>
    <row r="5" spans="1:4" x14ac:dyDescent="0.3">
      <c r="A5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D4AD9-CBDB-4E34-B45F-2DC1809587E6}">
  <dimension ref="A1:E7"/>
  <sheetViews>
    <sheetView workbookViewId="0">
      <selection activeCell="H22" sqref="H22"/>
    </sheetView>
  </sheetViews>
  <sheetFormatPr defaultRowHeight="14.4" x14ac:dyDescent="0.3"/>
  <sheetData>
    <row r="1" spans="1:5" x14ac:dyDescent="0.3">
      <c r="A1" t="s">
        <v>18</v>
      </c>
      <c r="B1" t="s">
        <v>29</v>
      </c>
      <c r="C1" t="s">
        <v>31</v>
      </c>
      <c r="D1" t="s">
        <v>24</v>
      </c>
      <c r="E1" t="s">
        <v>17</v>
      </c>
    </row>
    <row r="2" spans="1:5" x14ac:dyDescent="0.3">
      <c r="A2" s="3">
        <v>46147</v>
      </c>
      <c r="B2" s="3">
        <v>46150</v>
      </c>
      <c r="C2">
        <f>IF(AND(A2&lt;&gt;"",B2&lt;&gt;""),B2-A2,"")</f>
        <v>3</v>
      </c>
      <c r="D2">
        <v>1</v>
      </c>
      <c r="E2" t="s">
        <v>23</v>
      </c>
    </row>
    <row r="3" spans="1:5" x14ac:dyDescent="0.3">
      <c r="A3" s="3">
        <v>46157</v>
      </c>
      <c r="B3" s="3">
        <v>46160</v>
      </c>
      <c r="C3">
        <f>IF(AND(A3&lt;&gt;"",B3&lt;&gt;""),B3-A3,"")</f>
        <v>3</v>
      </c>
      <c r="D3">
        <v>1</v>
      </c>
      <c r="E3" t="s">
        <v>28</v>
      </c>
    </row>
    <row r="4" spans="1:5" x14ac:dyDescent="0.3">
      <c r="A4" s="3">
        <v>46157</v>
      </c>
      <c r="B4" s="3">
        <v>46160</v>
      </c>
      <c r="C4">
        <f t="shared" ref="C4:C7" si="0">IF(AND(A4&lt;&gt;"",B4&lt;&gt;""),B4-A4,"")</f>
        <v>3</v>
      </c>
      <c r="D4">
        <v>1</v>
      </c>
      <c r="E4" t="s">
        <v>23</v>
      </c>
    </row>
    <row r="5" spans="1:5" x14ac:dyDescent="0.3">
      <c r="A5" s="3">
        <v>46171</v>
      </c>
      <c r="C5" t="str">
        <f t="shared" si="0"/>
        <v/>
      </c>
      <c r="D5">
        <v>1</v>
      </c>
      <c r="E5" t="s">
        <v>23</v>
      </c>
    </row>
    <row r="6" spans="1:5" x14ac:dyDescent="0.3">
      <c r="C6" t="str">
        <f t="shared" si="0"/>
        <v/>
      </c>
    </row>
    <row r="7" spans="1:5" x14ac:dyDescent="0.3">
      <c r="C7" t="str">
        <f t="shared" si="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Maintenance Log</vt:lpstr>
      <vt:lpstr>Monthly Summary</vt:lpstr>
      <vt:lpstr>Operator Tracking</vt:lpstr>
      <vt:lpstr>Blade Use</vt:lpstr>
      <vt:lpstr>Blade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2026-04-10T10:31:52Z</dcterms:created>
  <dcterms:modified xsi:type="dcterms:W3CDTF">2026-05-29T06:10:03Z</dcterms:modified>
</cp:coreProperties>
</file>